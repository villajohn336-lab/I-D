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37a0a4cd588400/Desktop/U Cuenca/Ciclo 6/I^MD/"/>
    </mc:Choice>
  </mc:AlternateContent>
  <xr:revisionPtr revIDLastSave="3" documentId="13_ncr:1_{77959D7A-2799-49D3-BF0B-C1059AFC1B5D}" xr6:coauthVersionLast="47" xr6:coauthVersionMax="47" xr10:uidLastSave="{3318DDAA-8F68-4C25-9999-1E12BEB6F9D5}"/>
  <bookViews>
    <workbookView xWindow="-108" yWindow="-108" windowWidth="23256" windowHeight="12456" xr2:uid="{00000000-000D-0000-FFFF-FFFF00000000}"/>
  </bookViews>
  <sheets>
    <sheet name="QFD" sheetId="2" r:id="rId1"/>
  </sheets>
  <externalReferences>
    <externalReference r:id="rId2"/>
  </externalReferences>
  <definedNames>
    <definedName name="_xlnm.Print_Area" localSheetId="0">QFD!$A$1:$R$37</definedName>
    <definedName name="Correlation_Options">'[1]Data Validation Sources'!$C$2:$C$6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" i="2" l="1"/>
  <c r="M14" i="2"/>
  <c r="M15" i="2"/>
  <c r="M16" i="2"/>
  <c r="M17" i="2"/>
  <c r="M12" i="2"/>
  <c r="K21" i="2"/>
  <c r="J21" i="2"/>
  <c r="I21" i="2"/>
  <c r="H21" i="2"/>
  <c r="G21" i="2"/>
  <c r="L21" i="2"/>
  <c r="D21" i="2"/>
  <c r="M20" i="2"/>
  <c r="F21" i="2"/>
  <c r="E21" i="2"/>
  <c r="M18" i="2"/>
  <c r="M19" i="2"/>
  <c r="E23" i="2" l="1"/>
  <c r="M21" i="2"/>
  <c r="I22" i="2" s="1"/>
  <c r="F23" i="2"/>
  <c r="D23" i="2"/>
  <c r="L23" i="2"/>
  <c r="G23" i="2"/>
  <c r="H23" i="2"/>
  <c r="J23" i="2"/>
  <c r="K23" i="2"/>
  <c r="I23" i="2"/>
  <c r="J22" i="2" l="1"/>
  <c r="K22" i="2"/>
  <c r="F22" i="2"/>
  <c r="M22" i="2" s="1"/>
  <c r="H22" i="2"/>
  <c r="G22" i="2"/>
  <c r="E22" i="2"/>
  <c r="D22" i="2"/>
  <c r="L22" i="2"/>
</calcChain>
</file>

<file path=xl/sharedStrings.xml><?xml version="1.0" encoding="utf-8"?>
<sst xmlns="http://schemas.openxmlformats.org/spreadsheetml/2006/main" count="48" uniqueCount="48">
  <si>
    <t>Comments/Conclusion:</t>
  </si>
  <si>
    <t>Quality Function Deployment</t>
  </si>
  <si>
    <t>Importance %</t>
  </si>
  <si>
    <t>+</t>
  </si>
  <si>
    <t>Positive</t>
  </si>
  <si>
    <t>.</t>
  </si>
  <si>
    <t>-</t>
  </si>
  <si>
    <t>Negative</t>
  </si>
  <si>
    <t>Weighted Score</t>
  </si>
  <si>
    <t>Date:</t>
  </si>
  <si>
    <t>Priorities rank</t>
  </si>
  <si>
    <t>Strong</t>
  </si>
  <si>
    <t>Weak</t>
  </si>
  <si>
    <t>None</t>
  </si>
  <si>
    <t>Moderate</t>
  </si>
  <si>
    <t>Technical importance score</t>
  </si>
  <si>
    <t>1: low, 5: high</t>
  </si>
  <si>
    <t>Customer importance rating</t>
  </si>
  <si>
    <t>No correlation</t>
  </si>
  <si>
    <t>Desired direction of improvement (↑,0,↓)</t>
  </si>
  <si>
    <t>Correlation:</t>
  </si>
  <si>
    <t>Relationships:</t>
  </si>
  <si>
    <t>Functional Requirements (How's)
→</t>
  </si>
  <si>
    <t>Customer Requirements - (What's)
↓</t>
  </si>
  <si>
    <t>Project title:</t>
  </si>
  <si>
    <t>Project leader:</t>
  </si>
  <si>
    <t>QUE SEA LIVIANO</t>
  </si>
  <si>
    <t>QUE SEA INNOVADOR</t>
  </si>
  <si>
    <t>MATERIAL</t>
  </si>
  <si>
    <t>TAMAÑO</t>
  </si>
  <si>
    <t>ACCESIBILIDAD</t>
  </si>
  <si>
    <t>REUTILIZABLE</t>
  </si>
  <si>
    <t>MANEJO DE DESECHOS</t>
  </si>
  <si>
    <t xml:space="preserve"> </t>
  </si>
  <si>
    <t>DISEÑO ERGONÓMICO</t>
  </si>
  <si>
    <t>TIPO DE TECNOLOGÍA</t>
  </si>
  <si>
    <t>PESO</t>
  </si>
  <si>
    <t>QUE SEA COMODO</t>
  </si>
  <si>
    <t>BAJO COSTO</t>
  </si>
  <si>
    <t>FÁCIL DE TRANSPORTAR</t>
  </si>
  <si>
    <t>FÁCIL DE USAR</t>
  </si>
  <si>
    <t>AMIGABLE CON EL AMBIENTE</t>
  </si>
  <si>
    <t>SEGURO</t>
  </si>
  <si>
    <t>ESTÉTICA</t>
  </si>
  <si>
    <t>Detector de somnolencia</t>
  </si>
  <si>
    <t>08/06/2026</t>
  </si>
  <si>
    <t>Ayavaca G., Chica T., Villa J., Ramirez V.</t>
  </si>
  <si>
    <t>La matriz QFD permitió identificar que el diseño ergonómico, el tamaño y la tecnología son las características técnicas más importantes para el detector de somnolencia. Asimismo, los clientes priorizan que el producto sea amigable con el ambiente, de bajo costo y fácil de transportar, orientando el diseño hacia una solución funcional, accesible y sostenible.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</si>
</sst>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sz val="9"/>
      <color rgb="FF0000CC"/>
      <name val="Calibri"/>
      <family val="2"/>
      <scheme val="minor"/>
    </font>
    <font>
      <sz val="8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9"/>
      <color indexed="55"/>
      <name val="Calibri"/>
      <family val="2"/>
      <scheme val="minor"/>
    </font>
    <font>
      <sz val="20"/>
      <name val="Calibri"/>
      <family val="2"/>
      <scheme val="minor"/>
    </font>
    <font>
      <sz val="12"/>
      <color theme="1" tint="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3E1FF"/>
        <bgColor indexed="64"/>
      </patternFill>
    </fill>
    <fill>
      <patternFill patternType="solid">
        <fgColor rgb="FFEAEAEA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3" borderId="9" xfId="0" applyFont="1" applyFill="1" applyBorder="1" applyAlignment="1" applyProtection="1">
      <alignment horizontal="center" vertical="center"/>
    </xf>
    <xf numFmtId="0" fontId="2" fillId="3" borderId="0" xfId="0" applyFont="1" applyFill="1" applyProtection="1"/>
    <xf numFmtId="0" fontId="3" fillId="3" borderId="0" xfId="0" applyFont="1" applyFill="1" applyBorder="1" applyAlignment="1" applyProtection="1">
      <alignment horizontal="right" vertical="center"/>
    </xf>
    <xf numFmtId="0" fontId="9" fillId="3" borderId="0" xfId="0" applyFont="1" applyFill="1" applyBorder="1" applyAlignment="1" applyProtection="1">
      <alignment horizontal="left" vertical="center"/>
    </xf>
    <xf numFmtId="0" fontId="7" fillId="3" borderId="2" xfId="0" applyFont="1" applyFill="1" applyBorder="1" applyAlignment="1" applyProtection="1">
      <alignment horizontal="center"/>
    </xf>
    <xf numFmtId="9" fontId="7" fillId="3" borderId="0" xfId="0" applyNumberFormat="1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</xf>
    <xf numFmtId="0" fontId="10" fillId="3" borderId="0" xfId="0" applyFont="1" applyFill="1" applyBorder="1" applyAlignment="1" applyProtection="1">
      <alignment horizontal="center"/>
    </xf>
    <xf numFmtId="0" fontId="3" fillId="3" borderId="0" xfId="0" applyFont="1" applyFill="1" applyProtection="1"/>
    <xf numFmtId="0" fontId="3" fillId="4" borderId="5" xfId="0" applyFont="1" applyFill="1" applyBorder="1" applyAlignment="1" applyProtection="1">
      <alignment horizontal="left" vertical="center" wrapText="1"/>
      <protection locked="0"/>
    </xf>
    <xf numFmtId="0" fontId="3" fillId="4" borderId="4" xfId="0" applyFont="1" applyFill="1" applyBorder="1" applyAlignment="1" applyProtection="1">
      <alignment horizontal="left" vertical="center" wrapText="1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Border="1" applyProtection="1"/>
    <xf numFmtId="0" fontId="5" fillId="3" borderId="0" xfId="0" applyFont="1" applyFill="1" applyBorder="1" applyAlignment="1" applyProtection="1">
      <alignment horizontal="left" vertical="center"/>
    </xf>
    <xf numFmtId="0" fontId="11" fillId="3" borderId="0" xfId="0" applyFont="1" applyFill="1" applyBorder="1" applyAlignment="1" applyProtection="1">
      <alignment vertical="center"/>
    </xf>
    <xf numFmtId="0" fontId="9" fillId="3" borderId="0" xfId="0" applyFont="1" applyFill="1" applyBorder="1" applyProtection="1"/>
    <xf numFmtId="0" fontId="12" fillId="3" borderId="0" xfId="0" applyFont="1" applyFill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 vertical="center"/>
    </xf>
    <xf numFmtId="0" fontId="9" fillId="3" borderId="0" xfId="0" applyFont="1" applyFill="1" applyBorder="1" applyAlignment="1" applyProtection="1">
      <alignment vertical="center"/>
    </xf>
    <xf numFmtId="0" fontId="11" fillId="3" borderId="9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12" fillId="3" borderId="0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Border="1" applyAlignment="1" applyProtection="1">
      <alignment vertical="center"/>
    </xf>
    <xf numFmtId="0" fontId="12" fillId="3" borderId="0" xfId="0" applyFont="1" applyFill="1" applyBorder="1" applyAlignment="1" applyProtection="1">
      <alignment horizontal="right"/>
    </xf>
    <xf numFmtId="0" fontId="10" fillId="3" borderId="0" xfId="0" applyFont="1" applyFill="1" applyBorder="1" applyAlignment="1" applyProtection="1">
      <alignment horizontal="center" vertical="center"/>
    </xf>
    <xf numFmtId="0" fontId="13" fillId="3" borderId="0" xfId="0" applyFont="1" applyFill="1" applyBorder="1" applyProtection="1"/>
    <xf numFmtId="0" fontId="9" fillId="3" borderId="9" xfId="0" quotePrefix="1" applyFont="1" applyFill="1" applyBorder="1" applyAlignment="1" applyProtection="1">
      <alignment horizontal="center" vertical="center"/>
    </xf>
    <xf numFmtId="0" fontId="6" fillId="6" borderId="4" xfId="0" applyFont="1" applyFill="1" applyBorder="1" applyAlignment="1" applyProtection="1">
      <alignment horizontal="right" vertical="center"/>
    </xf>
    <xf numFmtId="0" fontId="3" fillId="6" borderId="4" xfId="0" applyFont="1" applyFill="1" applyBorder="1" applyAlignment="1" applyProtection="1">
      <alignment horizontal="center" vertical="center" wrapText="1"/>
    </xf>
    <xf numFmtId="0" fontId="3" fillId="6" borderId="1" xfId="0" applyFont="1" applyFill="1" applyBorder="1" applyAlignment="1" applyProtection="1">
      <alignment horizontal="center" vertical="center" wrapText="1"/>
    </xf>
    <xf numFmtId="0" fontId="7" fillId="6" borderId="1" xfId="0" applyFont="1" applyFill="1" applyBorder="1" applyAlignment="1" applyProtection="1">
      <alignment horizontal="center" vertical="center"/>
    </xf>
    <xf numFmtId="0" fontId="3" fillId="6" borderId="6" xfId="0" applyFont="1" applyFill="1" applyBorder="1" applyAlignment="1" applyProtection="1">
      <alignment horizontal="right" vertical="center"/>
    </xf>
    <xf numFmtId="0" fontId="3" fillId="6" borderId="4" xfId="0" applyFont="1" applyFill="1" applyBorder="1" applyAlignment="1" applyProtection="1">
      <alignment horizontal="right" vertical="center"/>
    </xf>
    <xf numFmtId="0" fontId="3" fillId="6" borderId="6" xfId="0" applyFont="1" applyFill="1" applyBorder="1" applyAlignment="1" applyProtection="1">
      <alignment horizontal="center" vertical="center"/>
    </xf>
    <xf numFmtId="9" fontId="3" fillId="6" borderId="4" xfId="0" applyNumberFormat="1" applyFont="1" applyFill="1" applyBorder="1" applyAlignment="1" applyProtection="1">
      <alignment horizontal="center" vertical="center"/>
    </xf>
    <xf numFmtId="0" fontId="8" fillId="6" borderId="4" xfId="0" applyFont="1" applyFill="1" applyBorder="1" applyAlignment="1" applyProtection="1">
      <alignment horizontal="center" vertical="center"/>
    </xf>
    <xf numFmtId="0" fontId="3" fillId="6" borderId="6" xfId="0" applyFont="1" applyFill="1" applyBorder="1" applyAlignment="1" applyProtection="1">
      <alignment horizontal="center" wrapText="1"/>
    </xf>
    <xf numFmtId="0" fontId="3" fillId="6" borderId="7" xfId="0" applyFont="1" applyFill="1" applyBorder="1" applyAlignment="1" applyProtection="1">
      <alignment horizontal="right" vertical="center" wrapText="1"/>
    </xf>
    <xf numFmtId="0" fontId="3" fillId="2" borderId="9" xfId="0" applyFont="1" applyFill="1" applyBorder="1" applyAlignment="1" applyProtection="1">
      <alignment horizontal="left" vertical="center"/>
      <protection locked="0"/>
    </xf>
    <xf numFmtId="0" fontId="11" fillId="3" borderId="0" xfId="0" applyFont="1" applyFill="1" applyAlignment="1" applyProtection="1">
      <alignment horizontal="left" vertical="center"/>
    </xf>
    <xf numFmtId="0" fontId="14" fillId="3" borderId="9" xfId="0" quotePrefix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12" fillId="3" borderId="0" xfId="0" applyFont="1" applyFill="1" applyBorder="1" applyAlignment="1" applyProtection="1">
      <alignment horizontal="center" vertical="center"/>
    </xf>
    <xf numFmtId="0" fontId="3" fillId="5" borderId="7" xfId="0" applyFont="1" applyFill="1" applyBorder="1" applyAlignment="1" applyProtection="1">
      <alignment horizontal="center" vertical="center" wrapText="1"/>
      <protection locked="0"/>
    </xf>
    <xf numFmtId="0" fontId="3" fillId="5" borderId="6" xfId="0" applyFont="1" applyFill="1" applyBorder="1" applyAlignment="1" applyProtection="1">
      <alignment horizontal="center" vertical="center" wrapText="1"/>
      <protection locked="0"/>
    </xf>
    <xf numFmtId="0" fontId="3" fillId="5" borderId="4" xfId="0" applyFont="1" applyFill="1" applyBorder="1" applyAlignment="1" applyProtection="1">
      <alignment horizontal="center" vertical="center" wrapText="1"/>
      <protection locked="0"/>
    </xf>
    <xf numFmtId="0" fontId="3" fillId="5" borderId="4" xfId="0" applyFont="1" applyFill="1" applyBorder="1" applyProtection="1">
      <protection locked="0"/>
    </xf>
    <xf numFmtId="0" fontId="6" fillId="5" borderId="7" xfId="0" applyFont="1" applyFill="1" applyBorder="1" applyAlignment="1" applyProtection="1">
      <alignment horizontal="center" vertical="center" wrapText="1"/>
      <protection locked="0"/>
    </xf>
    <xf numFmtId="0" fontId="6" fillId="5" borderId="6" xfId="0" applyFont="1" applyFill="1" applyBorder="1" applyAlignment="1" applyProtection="1">
      <alignment horizontal="center" vertical="center" wrapText="1"/>
      <protection locked="0"/>
    </xf>
    <xf numFmtId="14" fontId="3" fillId="2" borderId="9" xfId="0" quotePrefix="1" applyNumberFormat="1" applyFont="1" applyFill="1" applyBorder="1" applyAlignment="1" applyProtection="1">
      <alignment horizontal="left" vertical="center"/>
      <protection locked="0"/>
    </xf>
    <xf numFmtId="0" fontId="7" fillId="6" borderId="8" xfId="0" applyFont="1" applyFill="1" applyBorder="1" applyAlignment="1" applyProtection="1">
      <alignment horizontal="center" vertical="center"/>
    </xf>
    <xf numFmtId="0" fontId="10" fillId="3" borderId="0" xfId="0" applyFont="1" applyFill="1" applyBorder="1" applyAlignment="1" applyProtection="1">
      <alignment horizontal="center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CCFFFF"/>
      <color rgb="FFC3E1FF"/>
      <color rgb="FF99CCFF"/>
      <color rgb="FF0000CC"/>
      <color rgb="FFFFFF99"/>
      <color rgb="FF66FF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8</xdr:row>
      <xdr:rowOff>0</xdr:rowOff>
    </xdr:to>
    <xdr:sp macro="" textlink="">
      <xdr:nvSpPr>
        <xdr:cNvPr id="3" name="AutoShape 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130550" y="330200"/>
          <a:ext cx="6572250" cy="1333500"/>
        </a:xfrm>
        <a:prstGeom prst="triangle">
          <a:avLst>
            <a:gd name="adj" fmla="val 50000"/>
          </a:avLst>
        </a:prstGeom>
        <a:solidFill>
          <a:srgbClr val="FFFFFF"/>
        </a:solidFill>
        <a:ln w="12700">
          <a:solidFill>
            <a:schemeClr val="bg1">
              <a:lumMod val="50000"/>
            </a:schemeClr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</xdr:row>
      <xdr:rowOff>81280</xdr:rowOff>
    </xdr:from>
    <xdr:to>
      <xdr:col>8</xdr:col>
      <xdr:colOff>289560</xdr:colOff>
      <xdr:row>8</xdr:row>
      <xdr:rowOff>0</xdr:rowOff>
    </xdr:to>
    <xdr:cxnSp macro="">
      <xdr:nvCxnSpPr>
        <xdr:cNvPr id="57" name="Conector recto 56">
          <a:extLst>
            <a:ext uri="{FF2B5EF4-FFF2-40B4-BE49-F238E27FC236}">
              <a16:creationId xmlns:a16="http://schemas.microsoft.com/office/drawing/2014/main" id="{5E2F19E3-AB91-4F72-A6E6-825C37F18003}"/>
            </a:ext>
          </a:extLst>
        </xdr:cNvPr>
        <xdr:cNvCxnSpPr/>
      </xdr:nvCxnSpPr>
      <xdr:spPr>
        <a:xfrm flipV="1">
          <a:off x="4597400" y="604520"/>
          <a:ext cx="2484120" cy="107696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</xdr:row>
      <xdr:rowOff>20320</xdr:rowOff>
    </xdr:from>
    <xdr:to>
      <xdr:col>8</xdr:col>
      <xdr:colOff>609600</xdr:colOff>
      <xdr:row>7</xdr:row>
      <xdr:rowOff>187960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8AFBCCD6-478A-41EA-AE3E-31A3B21BAC83}"/>
            </a:ext>
          </a:extLst>
        </xdr:cNvPr>
        <xdr:cNvCxnSpPr/>
      </xdr:nvCxnSpPr>
      <xdr:spPr>
        <a:xfrm flipV="1">
          <a:off x="5328920" y="736600"/>
          <a:ext cx="2072640" cy="93980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726440</xdr:colOff>
      <xdr:row>3</xdr:row>
      <xdr:rowOff>162560</xdr:rowOff>
    </xdr:from>
    <xdr:to>
      <xdr:col>9</xdr:col>
      <xdr:colOff>223520</xdr:colOff>
      <xdr:row>8</xdr:row>
      <xdr:rowOff>0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5CC179F3-857C-43B9-8A35-29BCFB78AC79}"/>
            </a:ext>
          </a:extLst>
        </xdr:cNvPr>
        <xdr:cNvCxnSpPr/>
      </xdr:nvCxnSpPr>
      <xdr:spPr>
        <a:xfrm flipV="1">
          <a:off x="6055360" y="878840"/>
          <a:ext cx="1691640" cy="80264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5080</xdr:colOff>
      <xdr:row>4</xdr:row>
      <xdr:rowOff>96520</xdr:rowOff>
    </xdr:from>
    <xdr:to>
      <xdr:col>9</xdr:col>
      <xdr:colOff>548640</xdr:colOff>
      <xdr:row>8</xdr:row>
      <xdr:rowOff>0</xdr:rowOff>
    </xdr:to>
    <xdr:cxnSp macro="">
      <xdr:nvCxnSpPr>
        <xdr:cNvPr id="75" name="Conector recto 74">
          <a:extLst>
            <a:ext uri="{FF2B5EF4-FFF2-40B4-BE49-F238E27FC236}">
              <a16:creationId xmlns:a16="http://schemas.microsoft.com/office/drawing/2014/main" id="{82610FB8-2B81-4EB2-9BE7-5A77DE547847}"/>
            </a:ext>
          </a:extLst>
        </xdr:cNvPr>
        <xdr:cNvCxnSpPr>
          <a:endCxn id="3" idx="5"/>
        </xdr:cNvCxnSpPr>
      </xdr:nvCxnSpPr>
      <xdr:spPr>
        <a:xfrm flipV="1">
          <a:off x="6797040" y="1005840"/>
          <a:ext cx="1275080" cy="67564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728869</xdr:colOff>
      <xdr:row>5</xdr:row>
      <xdr:rowOff>60961</xdr:rowOff>
    </xdr:from>
    <xdr:to>
      <xdr:col>10</xdr:col>
      <xdr:colOff>177800</xdr:colOff>
      <xdr:row>8</xdr:row>
      <xdr:rowOff>5521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18089FBF-CE24-45F9-958B-EED36A698A72}"/>
            </a:ext>
          </a:extLst>
        </xdr:cNvPr>
        <xdr:cNvCxnSpPr/>
      </xdr:nvCxnSpPr>
      <xdr:spPr>
        <a:xfrm flipV="1">
          <a:off x="7504043" y="1159787"/>
          <a:ext cx="906670" cy="524343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726440</xdr:colOff>
      <xdr:row>6</xdr:row>
      <xdr:rowOff>40640</xdr:rowOff>
    </xdr:from>
    <xdr:to>
      <xdr:col>10</xdr:col>
      <xdr:colOff>604520</xdr:colOff>
      <xdr:row>7</xdr:row>
      <xdr:rowOff>187960</xdr:rowOff>
    </xdr:to>
    <xdr:cxnSp macro="">
      <xdr:nvCxnSpPr>
        <xdr:cNvPr id="80" name="Conector recto 79">
          <a:extLst>
            <a:ext uri="{FF2B5EF4-FFF2-40B4-BE49-F238E27FC236}">
              <a16:creationId xmlns:a16="http://schemas.microsoft.com/office/drawing/2014/main" id="{A0EEA9D4-E921-481D-AF85-E94F35B72900}"/>
            </a:ext>
          </a:extLst>
        </xdr:cNvPr>
        <xdr:cNvCxnSpPr/>
      </xdr:nvCxnSpPr>
      <xdr:spPr>
        <a:xfrm flipV="1">
          <a:off x="8249920" y="1336040"/>
          <a:ext cx="609600" cy="34036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5080</xdr:colOff>
      <xdr:row>1</xdr:row>
      <xdr:rowOff>157480</xdr:rowOff>
    </xdr:from>
    <xdr:to>
      <xdr:col>11</xdr:col>
      <xdr:colOff>10160</xdr:colOff>
      <xdr:row>8</xdr:row>
      <xdr:rowOff>0</xdr:rowOff>
    </xdr:to>
    <xdr:cxnSp macro="">
      <xdr:nvCxnSpPr>
        <xdr:cNvPr id="82" name="Conector recto 81">
          <a:extLst>
            <a:ext uri="{FF2B5EF4-FFF2-40B4-BE49-F238E27FC236}">
              <a16:creationId xmlns:a16="http://schemas.microsoft.com/office/drawing/2014/main" id="{909AD84D-2575-4DDB-BC05-BA601A5F0B92}"/>
            </a:ext>
          </a:extLst>
        </xdr:cNvPr>
        <xdr:cNvCxnSpPr/>
      </xdr:nvCxnSpPr>
      <xdr:spPr>
        <a:xfrm flipH="1" flipV="1">
          <a:off x="6065520" y="487680"/>
          <a:ext cx="2931160" cy="119380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396240</xdr:colOff>
      <xdr:row>2</xdr:row>
      <xdr:rowOff>101600</xdr:rowOff>
    </xdr:from>
    <xdr:to>
      <xdr:col>10</xdr:col>
      <xdr:colOff>0</xdr:colOff>
      <xdr:row>7</xdr:row>
      <xdr:rowOff>187960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340BF323-12F8-4059-B2D9-07A182C700EE}"/>
            </a:ext>
          </a:extLst>
        </xdr:cNvPr>
        <xdr:cNvCxnSpPr/>
      </xdr:nvCxnSpPr>
      <xdr:spPr>
        <a:xfrm flipH="1" flipV="1">
          <a:off x="5725160" y="624840"/>
          <a:ext cx="2529840" cy="105156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</xdr:colOff>
      <xdr:row>3</xdr:row>
      <xdr:rowOff>76200</xdr:rowOff>
    </xdr:from>
    <xdr:to>
      <xdr:col>8</xdr:col>
      <xdr:colOff>726440</xdr:colOff>
      <xdr:row>8</xdr:row>
      <xdr:rowOff>10160</xdr:rowOff>
    </xdr:to>
    <xdr:cxnSp macro="">
      <xdr:nvCxnSpPr>
        <xdr:cNvPr id="89" name="Conector recto 88">
          <a:extLst>
            <a:ext uri="{FF2B5EF4-FFF2-40B4-BE49-F238E27FC236}">
              <a16:creationId xmlns:a16="http://schemas.microsoft.com/office/drawing/2014/main" id="{A8823096-856B-4581-ADD7-66ADBC556F3E}"/>
            </a:ext>
          </a:extLst>
        </xdr:cNvPr>
        <xdr:cNvCxnSpPr/>
      </xdr:nvCxnSpPr>
      <xdr:spPr>
        <a:xfrm flipH="1" flipV="1">
          <a:off x="5359400" y="792480"/>
          <a:ext cx="2159000" cy="89916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386080</xdr:colOff>
      <xdr:row>4</xdr:row>
      <xdr:rowOff>10160</xdr:rowOff>
    </xdr:from>
    <xdr:to>
      <xdr:col>8</xdr:col>
      <xdr:colOff>0</xdr:colOff>
      <xdr:row>8</xdr:row>
      <xdr:rowOff>0</xdr:rowOff>
    </xdr:to>
    <xdr:cxnSp macro="">
      <xdr:nvCxnSpPr>
        <xdr:cNvPr id="95" name="Conector recto 94">
          <a:extLst>
            <a:ext uri="{FF2B5EF4-FFF2-40B4-BE49-F238E27FC236}">
              <a16:creationId xmlns:a16="http://schemas.microsoft.com/office/drawing/2014/main" id="{985150AC-9E87-43C5-8956-2EDE5258EAB4}"/>
            </a:ext>
          </a:extLst>
        </xdr:cNvPr>
        <xdr:cNvCxnSpPr/>
      </xdr:nvCxnSpPr>
      <xdr:spPr>
        <a:xfrm flipH="1" flipV="1">
          <a:off x="4983480" y="919480"/>
          <a:ext cx="1808480" cy="76200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71120</xdr:colOff>
      <xdr:row>4</xdr:row>
      <xdr:rowOff>167640</xdr:rowOff>
    </xdr:from>
    <xdr:to>
      <xdr:col>7</xdr:col>
      <xdr:colOff>0</xdr:colOff>
      <xdr:row>7</xdr:row>
      <xdr:rowOff>187960</xdr:rowOff>
    </xdr:to>
    <xdr:cxnSp macro="">
      <xdr:nvCxnSpPr>
        <xdr:cNvPr id="97" name="Conector recto 96">
          <a:extLst>
            <a:ext uri="{FF2B5EF4-FFF2-40B4-BE49-F238E27FC236}">
              <a16:creationId xmlns:a16="http://schemas.microsoft.com/office/drawing/2014/main" id="{2068D56B-3448-47AA-A2DC-EBB899DD6926}"/>
            </a:ext>
          </a:extLst>
        </xdr:cNvPr>
        <xdr:cNvCxnSpPr/>
      </xdr:nvCxnSpPr>
      <xdr:spPr>
        <a:xfrm flipH="1" flipV="1">
          <a:off x="4668520" y="1076960"/>
          <a:ext cx="1391920" cy="59944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401320</xdr:colOff>
      <xdr:row>5</xdr:row>
      <xdr:rowOff>121920</xdr:rowOff>
    </xdr:from>
    <xdr:to>
      <xdr:col>6</xdr:col>
      <xdr:colOff>5080</xdr:colOff>
      <xdr:row>8</xdr:row>
      <xdr:rowOff>0</xdr:rowOff>
    </xdr:to>
    <xdr:cxnSp macro="">
      <xdr:nvCxnSpPr>
        <xdr:cNvPr id="99" name="Conector recto 98">
          <a:extLst>
            <a:ext uri="{FF2B5EF4-FFF2-40B4-BE49-F238E27FC236}">
              <a16:creationId xmlns:a16="http://schemas.microsoft.com/office/drawing/2014/main" id="{3BF385E9-6FD4-496A-A3F1-E9D31137F477}"/>
            </a:ext>
          </a:extLst>
        </xdr:cNvPr>
        <xdr:cNvCxnSpPr/>
      </xdr:nvCxnSpPr>
      <xdr:spPr>
        <a:xfrm flipH="1" flipV="1">
          <a:off x="4267200" y="1224280"/>
          <a:ext cx="1066800" cy="45720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6</xdr:row>
      <xdr:rowOff>86360</xdr:rowOff>
    </xdr:from>
    <xdr:to>
      <xdr:col>5</xdr:col>
      <xdr:colOff>15240</xdr:colOff>
      <xdr:row>8</xdr:row>
      <xdr:rowOff>0</xdr:rowOff>
    </xdr:to>
    <xdr:cxnSp macro="">
      <xdr:nvCxnSpPr>
        <xdr:cNvPr id="101" name="Conector recto 100">
          <a:extLst>
            <a:ext uri="{FF2B5EF4-FFF2-40B4-BE49-F238E27FC236}">
              <a16:creationId xmlns:a16="http://schemas.microsoft.com/office/drawing/2014/main" id="{563190E5-15F4-4A21-96E6-BD36119E12E4}"/>
            </a:ext>
          </a:extLst>
        </xdr:cNvPr>
        <xdr:cNvCxnSpPr/>
      </xdr:nvCxnSpPr>
      <xdr:spPr>
        <a:xfrm flipH="1" flipV="1">
          <a:off x="3891280" y="1381760"/>
          <a:ext cx="721360" cy="29972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350520</xdr:colOff>
      <xdr:row>7</xdr:row>
      <xdr:rowOff>45721</xdr:rowOff>
    </xdr:from>
    <xdr:to>
      <xdr:col>4</xdr:col>
      <xdr:colOff>5521</xdr:colOff>
      <xdr:row>8</xdr:row>
      <xdr:rowOff>11043</xdr:rowOff>
    </xdr:to>
    <xdr:cxnSp macro="">
      <xdr:nvCxnSpPr>
        <xdr:cNvPr id="103" name="Conector recto 102">
          <a:extLst>
            <a:ext uri="{FF2B5EF4-FFF2-40B4-BE49-F238E27FC236}">
              <a16:creationId xmlns:a16="http://schemas.microsoft.com/office/drawing/2014/main" id="{16DD8E92-C615-4160-A9D6-1A3B1BF3748B}"/>
            </a:ext>
          </a:extLst>
        </xdr:cNvPr>
        <xdr:cNvCxnSpPr/>
      </xdr:nvCxnSpPr>
      <xdr:spPr>
        <a:xfrm flipH="1" flipV="1">
          <a:off x="3481346" y="1531069"/>
          <a:ext cx="383871" cy="158583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10160</xdr:colOff>
      <xdr:row>7</xdr:row>
      <xdr:rowOff>40640</xdr:rowOff>
    </xdr:from>
    <xdr:to>
      <xdr:col>11</xdr:col>
      <xdr:colOff>335280</xdr:colOff>
      <xdr:row>8</xdr:row>
      <xdr:rowOff>0</xdr:rowOff>
    </xdr:to>
    <xdr:cxnSp macro="">
      <xdr:nvCxnSpPr>
        <xdr:cNvPr id="105" name="Conector recto 104">
          <a:extLst>
            <a:ext uri="{FF2B5EF4-FFF2-40B4-BE49-F238E27FC236}">
              <a16:creationId xmlns:a16="http://schemas.microsoft.com/office/drawing/2014/main" id="{DBBF259A-D024-4A83-A1EA-9FBE06D9A3EE}"/>
            </a:ext>
          </a:extLst>
        </xdr:cNvPr>
        <xdr:cNvCxnSpPr/>
      </xdr:nvCxnSpPr>
      <xdr:spPr>
        <a:xfrm flipV="1">
          <a:off x="8996680" y="1529080"/>
          <a:ext cx="325120" cy="15240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548640</xdr:colOff>
      <xdr:row>7</xdr:row>
      <xdr:rowOff>5080</xdr:rowOff>
    </xdr:from>
    <xdr:to>
      <xdr:col>4</xdr:col>
      <xdr:colOff>157480</xdr:colOff>
      <xdr:row>7</xdr:row>
      <xdr:rowOff>137160</xdr:rowOff>
    </xdr:to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1EA4BDA6-F016-427F-BB08-FD73BC6146D7}"/>
            </a:ext>
          </a:extLst>
        </xdr:cNvPr>
        <xdr:cNvSpPr txBox="1"/>
      </xdr:nvSpPr>
      <xdr:spPr>
        <a:xfrm>
          <a:off x="3683000" y="149352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4</xdr:col>
      <xdr:colOff>208280</xdr:colOff>
      <xdr:row>6</xdr:row>
      <xdr:rowOff>25400</xdr:rowOff>
    </xdr:from>
    <xdr:to>
      <xdr:col>4</xdr:col>
      <xdr:colOff>548640</xdr:colOff>
      <xdr:row>6</xdr:row>
      <xdr:rowOff>157480</xdr:rowOff>
    </xdr:to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D63B7AC8-BEB9-41D1-83C0-66E299F2C477}"/>
            </a:ext>
          </a:extLst>
        </xdr:cNvPr>
        <xdr:cNvSpPr txBox="1"/>
      </xdr:nvSpPr>
      <xdr:spPr>
        <a:xfrm>
          <a:off x="4074160" y="132080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4</xdr:col>
      <xdr:colOff>584200</xdr:colOff>
      <xdr:row>5</xdr:row>
      <xdr:rowOff>71120</xdr:rowOff>
    </xdr:from>
    <xdr:to>
      <xdr:col>5</xdr:col>
      <xdr:colOff>193040</xdr:colOff>
      <xdr:row>6</xdr:row>
      <xdr:rowOff>10160</xdr:rowOff>
    </xdr:to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B595019E-2952-4192-BE2A-796DC8FD4BFF}"/>
            </a:ext>
          </a:extLst>
        </xdr:cNvPr>
        <xdr:cNvSpPr txBox="1"/>
      </xdr:nvSpPr>
      <xdr:spPr>
        <a:xfrm>
          <a:off x="4450080" y="117348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5</xdr:col>
      <xdr:colOff>228600</xdr:colOff>
      <xdr:row>4</xdr:row>
      <xdr:rowOff>111760</xdr:rowOff>
    </xdr:from>
    <xdr:to>
      <xdr:col>5</xdr:col>
      <xdr:colOff>568960</xdr:colOff>
      <xdr:row>5</xdr:row>
      <xdr:rowOff>50800</xdr:rowOff>
    </xdr:to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9470E2BB-210E-4A4B-9928-0108EFC4BB0D}"/>
            </a:ext>
          </a:extLst>
        </xdr:cNvPr>
        <xdr:cNvSpPr txBox="1"/>
      </xdr:nvSpPr>
      <xdr:spPr>
        <a:xfrm>
          <a:off x="4826000" y="102108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5</xdr:col>
      <xdr:colOff>553720</xdr:colOff>
      <xdr:row>3</xdr:row>
      <xdr:rowOff>167640</xdr:rowOff>
    </xdr:from>
    <xdr:to>
      <xdr:col>6</xdr:col>
      <xdr:colOff>162560</xdr:colOff>
      <xdr:row>4</xdr:row>
      <xdr:rowOff>106680</xdr:rowOff>
    </xdr:to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id="{48F9EFA9-75FF-433D-A1A9-CFCE85A1FC9F}"/>
            </a:ext>
          </a:extLst>
        </xdr:cNvPr>
        <xdr:cNvSpPr txBox="1"/>
      </xdr:nvSpPr>
      <xdr:spPr>
        <a:xfrm>
          <a:off x="5151120" y="88392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6</xdr:col>
      <xdr:colOff>172720</xdr:colOff>
      <xdr:row>2</xdr:row>
      <xdr:rowOff>187960</xdr:rowOff>
    </xdr:from>
    <xdr:to>
      <xdr:col>6</xdr:col>
      <xdr:colOff>513080</xdr:colOff>
      <xdr:row>3</xdr:row>
      <xdr:rowOff>127000</xdr:rowOff>
    </xdr:to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325F972D-A7DE-4B5D-979E-EF67D23163AA}"/>
            </a:ext>
          </a:extLst>
        </xdr:cNvPr>
        <xdr:cNvSpPr txBox="1"/>
      </xdr:nvSpPr>
      <xdr:spPr>
        <a:xfrm>
          <a:off x="5501640" y="71120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6</xdr:col>
      <xdr:colOff>563880</xdr:colOff>
      <xdr:row>2</xdr:row>
      <xdr:rowOff>60960</xdr:rowOff>
    </xdr:from>
    <xdr:to>
      <xdr:col>7</xdr:col>
      <xdr:colOff>172720</xdr:colOff>
      <xdr:row>3</xdr:row>
      <xdr:rowOff>0</xdr:rowOff>
    </xdr:to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15F0E8A9-007F-4A3B-A826-B646AEC08FE1}"/>
            </a:ext>
          </a:extLst>
        </xdr:cNvPr>
        <xdr:cNvSpPr txBox="1"/>
      </xdr:nvSpPr>
      <xdr:spPr>
        <a:xfrm>
          <a:off x="5892800" y="58420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7</xdr:col>
      <xdr:colOff>157480</xdr:colOff>
      <xdr:row>1</xdr:row>
      <xdr:rowOff>81280</xdr:rowOff>
    </xdr:from>
    <xdr:to>
      <xdr:col>7</xdr:col>
      <xdr:colOff>497840</xdr:colOff>
      <xdr:row>2</xdr:row>
      <xdr:rowOff>20320</xdr:rowOff>
    </xdr:to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195E51BA-478D-4102-8D43-C3B32B982A60}"/>
            </a:ext>
          </a:extLst>
        </xdr:cNvPr>
        <xdr:cNvSpPr txBox="1"/>
      </xdr:nvSpPr>
      <xdr:spPr>
        <a:xfrm>
          <a:off x="6217920" y="41148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7</xdr:col>
      <xdr:colOff>523240</xdr:colOff>
      <xdr:row>2</xdr:row>
      <xdr:rowOff>40640</xdr:rowOff>
    </xdr:from>
    <xdr:to>
      <xdr:col>8</xdr:col>
      <xdr:colOff>132080</xdr:colOff>
      <xdr:row>2</xdr:row>
      <xdr:rowOff>172720</xdr:rowOff>
    </xdr:to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804FB2C2-EF16-4624-A989-62F2D0EBFB79}"/>
            </a:ext>
          </a:extLst>
        </xdr:cNvPr>
        <xdr:cNvSpPr txBox="1"/>
      </xdr:nvSpPr>
      <xdr:spPr>
        <a:xfrm>
          <a:off x="6583680" y="56388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8</xdr:col>
      <xdr:colOff>81280</xdr:colOff>
      <xdr:row>2</xdr:row>
      <xdr:rowOff>187960</xdr:rowOff>
    </xdr:from>
    <xdr:to>
      <xdr:col>8</xdr:col>
      <xdr:colOff>421640</xdr:colOff>
      <xdr:row>3</xdr:row>
      <xdr:rowOff>127000</xdr:rowOff>
    </xdr:to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9F92582E-AE47-4135-88F7-998831350DB4}"/>
            </a:ext>
          </a:extLst>
        </xdr:cNvPr>
        <xdr:cNvSpPr txBox="1"/>
      </xdr:nvSpPr>
      <xdr:spPr>
        <a:xfrm>
          <a:off x="6873240" y="71120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8</xdr:col>
      <xdr:colOff>441960</xdr:colOff>
      <xdr:row>3</xdr:row>
      <xdr:rowOff>132080</xdr:rowOff>
    </xdr:from>
    <xdr:to>
      <xdr:col>9</xdr:col>
      <xdr:colOff>50800</xdr:colOff>
      <xdr:row>4</xdr:row>
      <xdr:rowOff>71120</xdr:rowOff>
    </xdr:to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0733B97D-B1F1-41ED-8046-19AA4ACA4668}"/>
            </a:ext>
          </a:extLst>
        </xdr:cNvPr>
        <xdr:cNvSpPr txBox="1"/>
      </xdr:nvSpPr>
      <xdr:spPr>
        <a:xfrm>
          <a:off x="7233920" y="84836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9</xdr:col>
      <xdr:colOff>25400</xdr:colOff>
      <xdr:row>4</xdr:row>
      <xdr:rowOff>76200</xdr:rowOff>
    </xdr:from>
    <xdr:to>
      <xdr:col>9</xdr:col>
      <xdr:colOff>365760</xdr:colOff>
      <xdr:row>5</xdr:row>
      <xdr:rowOff>15240</xdr:rowOff>
    </xdr:to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4B6168AF-CEFE-491A-829F-0ED0033FAF0A}"/>
            </a:ext>
          </a:extLst>
        </xdr:cNvPr>
        <xdr:cNvSpPr txBox="1"/>
      </xdr:nvSpPr>
      <xdr:spPr>
        <a:xfrm>
          <a:off x="7548880" y="98552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9</xdr:col>
      <xdr:colOff>396240</xdr:colOff>
      <xdr:row>5</xdr:row>
      <xdr:rowOff>25400</xdr:rowOff>
    </xdr:from>
    <xdr:to>
      <xdr:col>10</xdr:col>
      <xdr:colOff>5080</xdr:colOff>
      <xdr:row>5</xdr:row>
      <xdr:rowOff>157480</xdr:rowOff>
    </xdr:to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5D0A675A-DAFD-4AF5-85C5-F2720F42D2E1}"/>
            </a:ext>
          </a:extLst>
        </xdr:cNvPr>
        <xdr:cNvSpPr txBox="1"/>
      </xdr:nvSpPr>
      <xdr:spPr>
        <a:xfrm>
          <a:off x="7919720" y="112776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10</xdr:col>
      <xdr:colOff>76200</xdr:colOff>
      <xdr:row>5</xdr:row>
      <xdr:rowOff>182880</xdr:rowOff>
    </xdr:from>
    <xdr:to>
      <xdr:col>10</xdr:col>
      <xdr:colOff>416560</xdr:colOff>
      <xdr:row>6</xdr:row>
      <xdr:rowOff>121920</xdr:rowOff>
    </xdr:to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51F5A983-E747-4E02-ACBB-CBEBFB5F4C5D}"/>
            </a:ext>
          </a:extLst>
        </xdr:cNvPr>
        <xdr:cNvSpPr txBox="1"/>
      </xdr:nvSpPr>
      <xdr:spPr>
        <a:xfrm>
          <a:off x="8331200" y="128524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10</xdr:col>
      <xdr:colOff>497840</xdr:colOff>
      <xdr:row>6</xdr:row>
      <xdr:rowOff>167640</xdr:rowOff>
    </xdr:from>
    <xdr:to>
      <xdr:col>11</xdr:col>
      <xdr:colOff>106680</xdr:colOff>
      <xdr:row>7</xdr:row>
      <xdr:rowOff>106680</xdr:rowOff>
    </xdr:to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462F8330-2957-4608-BDEA-9412316335B9}"/>
            </a:ext>
          </a:extLst>
        </xdr:cNvPr>
        <xdr:cNvSpPr txBox="1"/>
      </xdr:nvSpPr>
      <xdr:spPr>
        <a:xfrm>
          <a:off x="8752840" y="146304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4</xdr:col>
      <xdr:colOff>553720</xdr:colOff>
      <xdr:row>6</xdr:row>
      <xdr:rowOff>177800</xdr:rowOff>
    </xdr:from>
    <xdr:to>
      <xdr:col>5</xdr:col>
      <xdr:colOff>162560</xdr:colOff>
      <xdr:row>7</xdr:row>
      <xdr:rowOff>116840</xdr:rowOff>
    </xdr:to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87853020-D497-4423-B146-83940D573F65}"/>
            </a:ext>
          </a:extLst>
        </xdr:cNvPr>
        <xdr:cNvSpPr txBox="1"/>
      </xdr:nvSpPr>
      <xdr:spPr>
        <a:xfrm>
          <a:off x="4419600" y="147320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5</xdr:col>
      <xdr:colOff>198120</xdr:colOff>
      <xdr:row>6</xdr:row>
      <xdr:rowOff>25400</xdr:rowOff>
    </xdr:from>
    <xdr:to>
      <xdr:col>5</xdr:col>
      <xdr:colOff>538480</xdr:colOff>
      <xdr:row>6</xdr:row>
      <xdr:rowOff>157480</xdr:rowOff>
    </xdr:to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4F0790B7-162A-4055-8741-4C528261F488}"/>
            </a:ext>
          </a:extLst>
        </xdr:cNvPr>
        <xdr:cNvSpPr txBox="1"/>
      </xdr:nvSpPr>
      <xdr:spPr>
        <a:xfrm>
          <a:off x="4795520" y="132080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5</xdr:col>
      <xdr:colOff>574040</xdr:colOff>
      <xdr:row>5</xdr:row>
      <xdr:rowOff>71120</xdr:rowOff>
    </xdr:from>
    <xdr:to>
      <xdr:col>6</xdr:col>
      <xdr:colOff>182880</xdr:colOff>
      <xdr:row>6</xdr:row>
      <xdr:rowOff>10160</xdr:rowOff>
    </xdr:to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F88BBD20-39EC-4B79-85A9-5205ADB0ECB0}"/>
            </a:ext>
          </a:extLst>
        </xdr:cNvPr>
        <xdr:cNvSpPr txBox="1"/>
      </xdr:nvSpPr>
      <xdr:spPr>
        <a:xfrm>
          <a:off x="5171440" y="117348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6</xdr:col>
      <xdr:colOff>167640</xdr:colOff>
      <xdr:row>4</xdr:row>
      <xdr:rowOff>116840</xdr:rowOff>
    </xdr:from>
    <xdr:to>
      <xdr:col>6</xdr:col>
      <xdr:colOff>508000</xdr:colOff>
      <xdr:row>5</xdr:row>
      <xdr:rowOff>55880</xdr:rowOff>
    </xdr:to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067E3B96-5A40-4F79-B321-0A482332A4C6}"/>
            </a:ext>
          </a:extLst>
        </xdr:cNvPr>
        <xdr:cNvSpPr txBox="1"/>
      </xdr:nvSpPr>
      <xdr:spPr>
        <a:xfrm>
          <a:off x="5496560" y="102616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6</xdr:col>
      <xdr:colOff>543560</xdr:colOff>
      <xdr:row>3</xdr:row>
      <xdr:rowOff>167640</xdr:rowOff>
    </xdr:from>
    <xdr:to>
      <xdr:col>7</xdr:col>
      <xdr:colOff>152400</xdr:colOff>
      <xdr:row>4</xdr:row>
      <xdr:rowOff>106680</xdr:rowOff>
    </xdr:to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9D917145-DC16-4510-9AE3-BCE41CE0AC67}"/>
            </a:ext>
          </a:extLst>
        </xdr:cNvPr>
        <xdr:cNvSpPr txBox="1"/>
      </xdr:nvSpPr>
      <xdr:spPr>
        <a:xfrm>
          <a:off x="5872480" y="88392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7</xdr:col>
      <xdr:colOff>157480</xdr:colOff>
      <xdr:row>3</xdr:row>
      <xdr:rowOff>5080</xdr:rowOff>
    </xdr:from>
    <xdr:to>
      <xdr:col>7</xdr:col>
      <xdr:colOff>497840</xdr:colOff>
      <xdr:row>3</xdr:row>
      <xdr:rowOff>137160</xdr:rowOff>
    </xdr:to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668D2667-2904-4CCD-BBF5-9435D78B61CB}"/>
            </a:ext>
          </a:extLst>
        </xdr:cNvPr>
        <xdr:cNvSpPr txBox="1"/>
      </xdr:nvSpPr>
      <xdr:spPr>
        <a:xfrm>
          <a:off x="6217920" y="72136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7</xdr:col>
      <xdr:colOff>487680</xdr:colOff>
      <xdr:row>3</xdr:row>
      <xdr:rowOff>132080</xdr:rowOff>
    </xdr:from>
    <xdr:to>
      <xdr:col>8</xdr:col>
      <xdr:colOff>96520</xdr:colOff>
      <xdr:row>4</xdr:row>
      <xdr:rowOff>71120</xdr:rowOff>
    </xdr:to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7D8D2D5B-A16D-447A-BACD-EFBC30541506}"/>
            </a:ext>
          </a:extLst>
        </xdr:cNvPr>
        <xdr:cNvSpPr txBox="1"/>
      </xdr:nvSpPr>
      <xdr:spPr>
        <a:xfrm>
          <a:off x="6548120" y="84836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8</xdr:col>
      <xdr:colOff>106680</xdr:colOff>
      <xdr:row>4</xdr:row>
      <xdr:rowOff>96520</xdr:rowOff>
    </xdr:from>
    <xdr:to>
      <xdr:col>8</xdr:col>
      <xdr:colOff>447040</xdr:colOff>
      <xdr:row>5</xdr:row>
      <xdr:rowOff>35560</xdr:rowOff>
    </xdr:to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8EA63683-718F-438A-84D7-BBC2DF8CA33B}"/>
            </a:ext>
          </a:extLst>
        </xdr:cNvPr>
        <xdr:cNvSpPr txBox="1"/>
      </xdr:nvSpPr>
      <xdr:spPr>
        <a:xfrm>
          <a:off x="6898640" y="100584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8</xdr:col>
      <xdr:colOff>457200</xdr:colOff>
      <xdr:row>5</xdr:row>
      <xdr:rowOff>45720</xdr:rowOff>
    </xdr:from>
    <xdr:to>
      <xdr:col>9</xdr:col>
      <xdr:colOff>66040</xdr:colOff>
      <xdr:row>5</xdr:row>
      <xdr:rowOff>177800</xdr:rowOff>
    </xdr:to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10C831B7-0BEF-4D0B-9D55-DC8912CCDDA5}"/>
            </a:ext>
          </a:extLst>
        </xdr:cNvPr>
        <xdr:cNvSpPr txBox="1"/>
      </xdr:nvSpPr>
      <xdr:spPr>
        <a:xfrm>
          <a:off x="7249160" y="114808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9</xdr:col>
      <xdr:colOff>91440</xdr:colOff>
      <xdr:row>5</xdr:row>
      <xdr:rowOff>187960</xdr:rowOff>
    </xdr:from>
    <xdr:to>
      <xdr:col>9</xdr:col>
      <xdr:colOff>431800</xdr:colOff>
      <xdr:row>6</xdr:row>
      <xdr:rowOff>127000</xdr:rowOff>
    </xdr:to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D61CD26E-F523-4C28-A3CC-0D6C8B6E0C00}"/>
            </a:ext>
          </a:extLst>
        </xdr:cNvPr>
        <xdr:cNvSpPr txBox="1"/>
      </xdr:nvSpPr>
      <xdr:spPr>
        <a:xfrm>
          <a:off x="7614920" y="129032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9</xdr:col>
      <xdr:colOff>497840</xdr:colOff>
      <xdr:row>6</xdr:row>
      <xdr:rowOff>157480</xdr:rowOff>
    </xdr:from>
    <xdr:to>
      <xdr:col>10</xdr:col>
      <xdr:colOff>106680</xdr:colOff>
      <xdr:row>7</xdr:row>
      <xdr:rowOff>96520</xdr:rowOff>
    </xdr:to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FE309A8F-56F8-49A2-94C3-C88C8238AAA8}"/>
            </a:ext>
          </a:extLst>
        </xdr:cNvPr>
        <xdr:cNvSpPr txBox="1"/>
      </xdr:nvSpPr>
      <xdr:spPr>
        <a:xfrm>
          <a:off x="8021320" y="145288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5</xdr:col>
      <xdr:colOff>553720</xdr:colOff>
      <xdr:row>7</xdr:row>
      <xdr:rowOff>5080</xdr:rowOff>
    </xdr:from>
    <xdr:to>
      <xdr:col>6</xdr:col>
      <xdr:colOff>162560</xdr:colOff>
      <xdr:row>7</xdr:row>
      <xdr:rowOff>137160</xdr:rowOff>
    </xdr:to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43B8BFD0-CCAD-4013-A07F-26872FE0E67F}"/>
            </a:ext>
          </a:extLst>
        </xdr:cNvPr>
        <xdr:cNvSpPr txBox="1"/>
      </xdr:nvSpPr>
      <xdr:spPr>
        <a:xfrm>
          <a:off x="5151120" y="149352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6</xdr:col>
      <xdr:colOff>172720</xdr:colOff>
      <xdr:row>6</xdr:row>
      <xdr:rowOff>30480</xdr:rowOff>
    </xdr:from>
    <xdr:to>
      <xdr:col>6</xdr:col>
      <xdr:colOff>513080</xdr:colOff>
      <xdr:row>6</xdr:row>
      <xdr:rowOff>162560</xdr:rowOff>
    </xdr:to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31627DFE-C511-4DA9-A4A9-95351E0319EB}"/>
            </a:ext>
          </a:extLst>
        </xdr:cNvPr>
        <xdr:cNvSpPr txBox="1"/>
      </xdr:nvSpPr>
      <xdr:spPr>
        <a:xfrm>
          <a:off x="5501640" y="132588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6</xdr:col>
      <xdr:colOff>518160</xdr:colOff>
      <xdr:row>5</xdr:row>
      <xdr:rowOff>71120</xdr:rowOff>
    </xdr:from>
    <xdr:to>
      <xdr:col>7</xdr:col>
      <xdr:colOff>127000</xdr:colOff>
      <xdr:row>6</xdr:row>
      <xdr:rowOff>10160</xdr:rowOff>
    </xdr:to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2AC73524-92CF-4187-9F4C-F523A1BCABB4}"/>
            </a:ext>
          </a:extLst>
        </xdr:cNvPr>
        <xdr:cNvSpPr txBox="1"/>
      </xdr:nvSpPr>
      <xdr:spPr>
        <a:xfrm>
          <a:off x="5847080" y="117348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7</xdr:col>
      <xdr:colOff>142240</xdr:colOff>
      <xdr:row>4</xdr:row>
      <xdr:rowOff>96520</xdr:rowOff>
    </xdr:from>
    <xdr:to>
      <xdr:col>7</xdr:col>
      <xdr:colOff>482600</xdr:colOff>
      <xdr:row>5</xdr:row>
      <xdr:rowOff>35560</xdr:rowOff>
    </xdr:to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id="{FDAB795E-7A8C-4A67-A291-64A294C42EB4}"/>
            </a:ext>
          </a:extLst>
        </xdr:cNvPr>
        <xdr:cNvSpPr txBox="1"/>
      </xdr:nvSpPr>
      <xdr:spPr>
        <a:xfrm>
          <a:off x="6202680" y="100584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7</xdr:col>
      <xdr:colOff>477520</xdr:colOff>
      <xdr:row>5</xdr:row>
      <xdr:rowOff>60960</xdr:rowOff>
    </xdr:from>
    <xdr:to>
      <xdr:col>8</xdr:col>
      <xdr:colOff>86360</xdr:colOff>
      <xdr:row>6</xdr:row>
      <xdr:rowOff>0</xdr:rowOff>
    </xdr:to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55CF839A-F4CC-4750-AEC9-810776A868BD}"/>
            </a:ext>
          </a:extLst>
        </xdr:cNvPr>
        <xdr:cNvSpPr txBox="1"/>
      </xdr:nvSpPr>
      <xdr:spPr>
        <a:xfrm>
          <a:off x="6537960" y="116332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8</xdr:col>
      <xdr:colOff>121920</xdr:colOff>
      <xdr:row>6</xdr:row>
      <xdr:rowOff>10160</xdr:rowOff>
    </xdr:from>
    <xdr:to>
      <xdr:col>8</xdr:col>
      <xdr:colOff>462280</xdr:colOff>
      <xdr:row>6</xdr:row>
      <xdr:rowOff>142240</xdr:rowOff>
    </xdr:to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261FF6C2-6E98-459D-9969-5ACF113454BB}"/>
            </a:ext>
          </a:extLst>
        </xdr:cNvPr>
        <xdr:cNvSpPr txBox="1"/>
      </xdr:nvSpPr>
      <xdr:spPr>
        <a:xfrm>
          <a:off x="6913880" y="130556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8</xdr:col>
      <xdr:colOff>508000</xdr:colOff>
      <xdr:row>6</xdr:row>
      <xdr:rowOff>177800</xdr:rowOff>
    </xdr:from>
    <xdr:to>
      <xdr:col>9</xdr:col>
      <xdr:colOff>116840</xdr:colOff>
      <xdr:row>7</xdr:row>
      <xdr:rowOff>116840</xdr:rowOff>
    </xdr:to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927B7740-C2B6-4C61-B690-0773B3F0D52B}"/>
            </a:ext>
          </a:extLst>
        </xdr:cNvPr>
        <xdr:cNvSpPr txBox="1"/>
      </xdr:nvSpPr>
      <xdr:spPr>
        <a:xfrm>
          <a:off x="7299960" y="147320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6</xdr:col>
      <xdr:colOff>553720</xdr:colOff>
      <xdr:row>6</xdr:row>
      <xdr:rowOff>182880</xdr:rowOff>
    </xdr:from>
    <xdr:to>
      <xdr:col>7</xdr:col>
      <xdr:colOff>162560</xdr:colOff>
      <xdr:row>7</xdr:row>
      <xdr:rowOff>121920</xdr:rowOff>
    </xdr:to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002AB79D-FCAC-4C8E-AE21-BC92297CCA61}"/>
            </a:ext>
          </a:extLst>
        </xdr:cNvPr>
        <xdr:cNvSpPr txBox="1"/>
      </xdr:nvSpPr>
      <xdr:spPr>
        <a:xfrm>
          <a:off x="5882640" y="147828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7</xdr:col>
      <xdr:colOff>147320</xdr:colOff>
      <xdr:row>6</xdr:row>
      <xdr:rowOff>15240</xdr:rowOff>
    </xdr:from>
    <xdr:to>
      <xdr:col>7</xdr:col>
      <xdr:colOff>487680</xdr:colOff>
      <xdr:row>6</xdr:row>
      <xdr:rowOff>147320</xdr:rowOff>
    </xdr:to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54A7DCC6-2C86-4BF9-85EA-5D5A1B7B1885}"/>
            </a:ext>
          </a:extLst>
        </xdr:cNvPr>
        <xdr:cNvSpPr txBox="1"/>
      </xdr:nvSpPr>
      <xdr:spPr>
        <a:xfrm>
          <a:off x="6207760" y="131064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-</a:t>
          </a:r>
        </a:p>
      </xdr:txBody>
    </xdr:sp>
    <xdr:clientData/>
  </xdr:twoCellAnchor>
  <xdr:twoCellAnchor>
    <xdr:from>
      <xdr:col>7</xdr:col>
      <xdr:colOff>513080</xdr:colOff>
      <xdr:row>6</xdr:row>
      <xdr:rowOff>177800</xdr:rowOff>
    </xdr:from>
    <xdr:to>
      <xdr:col>8</xdr:col>
      <xdr:colOff>121920</xdr:colOff>
      <xdr:row>7</xdr:row>
      <xdr:rowOff>116840</xdr:rowOff>
    </xdr:to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F864FF03-B99F-447C-9CA1-10544E8FC490}"/>
            </a:ext>
          </a:extLst>
        </xdr:cNvPr>
        <xdr:cNvSpPr txBox="1"/>
      </xdr:nvSpPr>
      <xdr:spPr>
        <a:xfrm>
          <a:off x="6573520" y="1473200"/>
          <a:ext cx="340360" cy="1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/>
            <a:t>+</a:t>
          </a:r>
        </a:p>
      </xdr:txBody>
    </xdr:sp>
    <xdr:clientData/>
  </xdr:twoCellAnchor>
  <xdr:twoCellAnchor>
    <xdr:from>
      <xdr:col>3</xdr:col>
      <xdr:colOff>723348</xdr:colOff>
      <xdr:row>1</xdr:row>
      <xdr:rowOff>114300</xdr:rowOff>
    </xdr:from>
    <xdr:to>
      <xdr:col>7</xdr:col>
      <xdr:colOff>685800</xdr:colOff>
      <xdr:row>8</xdr:row>
      <xdr:rowOff>0</xdr:rowOff>
    </xdr:to>
    <xdr:cxnSp macro="">
      <xdr:nvCxnSpPr>
        <xdr:cNvPr id="144" name="Conector recto 143">
          <a:extLst>
            <a:ext uri="{FF2B5EF4-FFF2-40B4-BE49-F238E27FC236}">
              <a16:creationId xmlns:a16="http://schemas.microsoft.com/office/drawing/2014/main" id="{1610E8C9-200C-479B-AAB4-B963150242E7}"/>
            </a:ext>
          </a:extLst>
        </xdr:cNvPr>
        <xdr:cNvCxnSpPr/>
      </xdr:nvCxnSpPr>
      <xdr:spPr>
        <a:xfrm flipV="1">
          <a:off x="3854174" y="440083"/>
          <a:ext cx="2877930" cy="1238526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saadeddin/Desktop/QFD/House%20of%20Quality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se of Quality 1"/>
      <sheetName val="Data Validation Sources"/>
      <sheetName val="House of Quality 2"/>
      <sheetName val="House of Quality 3"/>
      <sheetName val="House of Quality 4"/>
      <sheetName val="About"/>
    </sheetNames>
    <sheetDataSet>
      <sheetData sheetId="0" refreshError="1"/>
      <sheetData sheetId="1">
        <row r="2">
          <cell r="C2" t="str">
            <v>┼┼</v>
          </cell>
        </row>
        <row r="3">
          <cell r="C3" t="str">
            <v>┼</v>
          </cell>
        </row>
        <row r="4">
          <cell r="C4" t="str">
            <v>▬</v>
          </cell>
        </row>
        <row r="5">
          <cell r="C5" t="str">
            <v>▼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showGridLines="0" tabSelected="1" zoomScale="96" zoomScaleNormal="120" workbookViewId="0">
      <selection activeCell="F30" sqref="F30"/>
    </sheetView>
  </sheetViews>
  <sheetFormatPr baseColWidth="10" defaultColWidth="8.88671875" defaultRowHeight="12" x14ac:dyDescent="0.25"/>
  <cols>
    <col min="1" max="1" width="2.6640625" style="9" customWidth="1"/>
    <col min="2" max="2" width="12.21875" style="9" customWidth="1"/>
    <col min="3" max="3" width="30.5546875" style="9" customWidth="1"/>
    <col min="4" max="17" width="10.6640625" style="9" customWidth="1"/>
    <col min="18" max="18" width="2.6640625" style="9" customWidth="1"/>
    <col min="19" max="16384" width="8.88671875" style="9"/>
  </cols>
  <sheetData>
    <row r="1" spans="1:17" ht="25.8" x14ac:dyDescent="0.5">
      <c r="B1" s="29" t="s">
        <v>1</v>
      </c>
    </row>
    <row r="2" spans="1:17" ht="15" customHeight="1" x14ac:dyDescent="0.25">
      <c r="B2" s="3"/>
      <c r="G2" s="16"/>
      <c r="H2" s="16"/>
      <c r="I2" s="16"/>
      <c r="J2" s="16"/>
      <c r="K2" s="16"/>
      <c r="L2" s="16" t="s">
        <v>33</v>
      </c>
      <c r="O2" s="17"/>
      <c r="P2" s="18"/>
    </row>
    <row r="3" spans="1:17" ht="15" customHeight="1" x14ac:dyDescent="0.25">
      <c r="B3" s="46" t="s">
        <v>24</v>
      </c>
      <c r="C3" s="42" t="s">
        <v>44</v>
      </c>
      <c r="D3" s="3"/>
      <c r="E3" s="16"/>
      <c r="F3" s="19"/>
      <c r="G3" s="3"/>
      <c r="H3" s="3"/>
      <c r="I3" s="3"/>
      <c r="J3" s="3"/>
      <c r="K3" s="3"/>
      <c r="N3" s="43" t="s">
        <v>20</v>
      </c>
      <c r="O3" s="20"/>
      <c r="P3" s="21"/>
    </row>
    <row r="4" spans="1:17" ht="15" customHeight="1" x14ac:dyDescent="0.25">
      <c r="B4" s="46" t="s">
        <v>25</v>
      </c>
      <c r="C4" s="42" t="s">
        <v>46</v>
      </c>
      <c r="D4" s="3"/>
      <c r="E4" s="16"/>
      <c r="F4" s="19"/>
      <c r="G4" s="3"/>
      <c r="H4" s="3"/>
      <c r="I4" s="3"/>
      <c r="J4" s="3"/>
      <c r="K4" s="3"/>
      <c r="N4" s="44" t="s">
        <v>3</v>
      </c>
      <c r="O4" s="45" t="s">
        <v>5</v>
      </c>
      <c r="P4" s="44" t="s">
        <v>6</v>
      </c>
    </row>
    <row r="5" spans="1:17" ht="15" customHeight="1" x14ac:dyDescent="0.25">
      <c r="B5" s="3" t="s">
        <v>9</v>
      </c>
      <c r="C5" s="54" t="s">
        <v>45</v>
      </c>
      <c r="D5" s="3"/>
      <c r="E5" s="16"/>
      <c r="F5" s="19"/>
      <c r="G5" s="3"/>
      <c r="H5" s="3"/>
      <c r="I5" s="3"/>
      <c r="J5" s="3"/>
      <c r="K5" s="3"/>
      <c r="N5" s="30" t="s">
        <v>4</v>
      </c>
      <c r="O5" s="1" t="s">
        <v>18</v>
      </c>
      <c r="P5" s="30" t="s">
        <v>7</v>
      </c>
    </row>
    <row r="6" spans="1:17" ht="15" customHeight="1" x14ac:dyDescent="0.25">
      <c r="B6" s="3"/>
      <c r="C6" s="16"/>
      <c r="D6" s="3"/>
      <c r="E6" s="16"/>
      <c r="F6" s="19"/>
      <c r="G6" s="3"/>
      <c r="H6" s="3"/>
      <c r="I6" s="3"/>
      <c r="J6" s="3"/>
      <c r="K6" s="3"/>
      <c r="O6" s="20"/>
      <c r="P6" s="21"/>
    </row>
    <row r="7" spans="1:17" ht="15" customHeight="1" x14ac:dyDescent="0.25">
      <c r="B7" s="3"/>
      <c r="C7" s="4"/>
      <c r="D7" s="3"/>
      <c r="E7" s="16"/>
      <c r="F7" s="19"/>
      <c r="G7" s="3"/>
      <c r="H7" s="3"/>
      <c r="I7" s="3"/>
      <c r="J7" s="3"/>
      <c r="K7" s="3"/>
      <c r="N7" s="43" t="s">
        <v>21</v>
      </c>
      <c r="O7" s="20"/>
      <c r="P7" s="21"/>
    </row>
    <row r="8" spans="1:17" ht="15" customHeight="1" x14ac:dyDescent="0.25">
      <c r="B8" s="3"/>
      <c r="C8" s="16"/>
      <c r="D8" s="3"/>
      <c r="E8" s="16"/>
      <c r="F8" s="19"/>
      <c r="G8" s="3"/>
      <c r="H8" s="3"/>
      <c r="I8" s="3"/>
      <c r="J8" s="3"/>
      <c r="K8" s="3"/>
      <c r="L8" s="16"/>
      <c r="N8" s="22">
        <v>9</v>
      </c>
      <c r="O8" s="22">
        <v>3</v>
      </c>
      <c r="P8" s="22">
        <v>1</v>
      </c>
      <c r="Q8" s="22"/>
    </row>
    <row r="9" spans="1:17" ht="15" customHeight="1" x14ac:dyDescent="0.25">
      <c r="B9" s="3"/>
      <c r="C9" s="31" t="s">
        <v>19</v>
      </c>
      <c r="D9" s="12"/>
      <c r="E9" s="13"/>
      <c r="F9" s="13"/>
      <c r="G9" s="13"/>
      <c r="H9" s="13"/>
      <c r="I9" s="13"/>
      <c r="J9" s="13"/>
      <c r="K9" s="13"/>
      <c r="L9" s="13"/>
      <c r="N9" s="23" t="s">
        <v>11</v>
      </c>
      <c r="O9" s="23" t="s">
        <v>14</v>
      </c>
      <c r="P9" s="23" t="s">
        <v>12</v>
      </c>
      <c r="Q9" s="23" t="s">
        <v>13</v>
      </c>
    </row>
    <row r="10" spans="1:17" ht="24" x14ac:dyDescent="0.25">
      <c r="A10" s="15"/>
      <c r="B10" s="8" t="s">
        <v>16</v>
      </c>
      <c r="C10" s="41" t="s">
        <v>22</v>
      </c>
      <c r="D10" s="50" t="s">
        <v>28</v>
      </c>
      <c r="E10" s="50" t="s">
        <v>29</v>
      </c>
      <c r="F10" s="50" t="s">
        <v>43</v>
      </c>
      <c r="G10" s="50" t="s">
        <v>34</v>
      </c>
      <c r="H10" s="48" t="s">
        <v>35</v>
      </c>
      <c r="I10" s="52" t="s">
        <v>30</v>
      </c>
      <c r="J10" s="48" t="s">
        <v>36</v>
      </c>
      <c r="K10" s="48" t="s">
        <v>31</v>
      </c>
      <c r="L10" s="48" t="s">
        <v>32</v>
      </c>
      <c r="M10" s="15"/>
    </row>
    <row r="11" spans="1:17" ht="36" x14ac:dyDescent="0.25">
      <c r="A11" s="24"/>
      <c r="B11" s="32" t="s">
        <v>17</v>
      </c>
      <c r="C11" s="40" t="s">
        <v>23</v>
      </c>
      <c r="D11" s="51"/>
      <c r="E11" s="51"/>
      <c r="F11" s="51"/>
      <c r="G11" s="51"/>
      <c r="H11" s="49"/>
      <c r="I11" s="53"/>
      <c r="J11" s="49"/>
      <c r="K11" s="49"/>
      <c r="L11" s="49"/>
      <c r="M11" s="33" t="s">
        <v>8</v>
      </c>
    </row>
    <row r="12" spans="1:17" ht="15" customHeight="1" x14ac:dyDescent="0.25">
      <c r="A12" s="47">
        <v>1</v>
      </c>
      <c r="B12" s="14">
        <v>1</v>
      </c>
      <c r="C12" s="10" t="s">
        <v>26</v>
      </c>
      <c r="D12" s="25">
        <v>9</v>
      </c>
      <c r="E12" s="25">
        <v>9</v>
      </c>
      <c r="F12" s="25">
        <v>3</v>
      </c>
      <c r="G12" s="25">
        <v>9</v>
      </c>
      <c r="H12" s="25">
        <v>9</v>
      </c>
      <c r="I12" s="25">
        <v>1</v>
      </c>
      <c r="J12" s="25">
        <v>9</v>
      </c>
      <c r="K12" s="25">
        <v>9</v>
      </c>
      <c r="L12" s="25">
        <v>9</v>
      </c>
      <c r="M12" s="34">
        <f>(D12*B12)+(E12*B12)+(F12*B12)+(G12*B12)+(H12*B12)+(I12*B12)+(J12*B12+(K12*B12)+(L12*B12))</f>
        <v>67</v>
      </c>
    </row>
    <row r="13" spans="1:17" ht="15" customHeight="1" x14ac:dyDescent="0.25">
      <c r="A13" s="47">
        <v>2</v>
      </c>
      <c r="B13" s="14">
        <v>3</v>
      </c>
      <c r="C13" s="11" t="s">
        <v>37</v>
      </c>
      <c r="D13" s="25">
        <v>9</v>
      </c>
      <c r="E13" s="25">
        <v>9</v>
      </c>
      <c r="F13" s="25">
        <v>9</v>
      </c>
      <c r="G13" s="25">
        <v>9</v>
      </c>
      <c r="H13" s="25">
        <v>9</v>
      </c>
      <c r="I13" s="25">
        <v>1</v>
      </c>
      <c r="J13" s="25">
        <v>9</v>
      </c>
      <c r="K13" s="25">
        <v>1</v>
      </c>
      <c r="L13" s="25">
        <v>1</v>
      </c>
      <c r="M13" s="34">
        <f>(D13*B13)+(E13*B13)+(F13*B13)+(G13*B13)+(H13*B13)+(I13*B13)+(J13*B13+(K13*B13)+(L13*B13))</f>
        <v>171</v>
      </c>
    </row>
    <row r="14" spans="1:17" ht="15" customHeight="1" x14ac:dyDescent="0.25">
      <c r="A14" s="47">
        <v>3</v>
      </c>
      <c r="B14" s="14">
        <v>2</v>
      </c>
      <c r="C14" s="11" t="s">
        <v>27</v>
      </c>
      <c r="D14" s="25">
        <v>1</v>
      </c>
      <c r="E14" s="25">
        <v>3</v>
      </c>
      <c r="F14" s="25">
        <v>9</v>
      </c>
      <c r="G14" s="25">
        <v>9</v>
      </c>
      <c r="H14" s="25">
        <v>9</v>
      </c>
      <c r="I14" s="25">
        <v>3</v>
      </c>
      <c r="J14" s="25">
        <v>3</v>
      </c>
      <c r="K14" s="25">
        <v>3</v>
      </c>
      <c r="L14" s="25">
        <v>3</v>
      </c>
      <c r="M14" s="34">
        <f t="shared" ref="M14:M17" si="0">(D14*B14)+(E14*B14)+(F14*B14)+(G14*B14)+(H14*B14)+(I14*B14)+(J14*B14+(K14*B14)+(L14*B14))</f>
        <v>86</v>
      </c>
    </row>
    <row r="15" spans="1:17" ht="15" customHeight="1" x14ac:dyDescent="0.25">
      <c r="A15" s="47">
        <v>4</v>
      </c>
      <c r="B15" s="14">
        <v>5</v>
      </c>
      <c r="C15" s="11" t="s">
        <v>38</v>
      </c>
      <c r="D15" s="25">
        <v>9</v>
      </c>
      <c r="E15" s="25">
        <v>9</v>
      </c>
      <c r="F15" s="25">
        <v>3</v>
      </c>
      <c r="G15" s="25">
        <v>9</v>
      </c>
      <c r="H15" s="25">
        <v>9</v>
      </c>
      <c r="I15" s="25">
        <v>9</v>
      </c>
      <c r="J15" s="25">
        <v>3</v>
      </c>
      <c r="K15" s="25">
        <v>9</v>
      </c>
      <c r="L15" s="25">
        <v>9</v>
      </c>
      <c r="M15" s="34">
        <f t="shared" si="0"/>
        <v>345</v>
      </c>
    </row>
    <row r="16" spans="1:17" ht="15" customHeight="1" x14ac:dyDescent="0.25">
      <c r="A16" s="47">
        <v>5</v>
      </c>
      <c r="B16" s="14">
        <v>4</v>
      </c>
      <c r="C16" s="11" t="s">
        <v>39</v>
      </c>
      <c r="D16" s="25">
        <v>3</v>
      </c>
      <c r="E16" s="25">
        <v>9</v>
      </c>
      <c r="F16" s="25">
        <v>1</v>
      </c>
      <c r="G16" s="25">
        <v>9</v>
      </c>
      <c r="H16" s="25">
        <v>3</v>
      </c>
      <c r="I16" s="25">
        <v>1</v>
      </c>
      <c r="J16" s="25">
        <v>9</v>
      </c>
      <c r="K16" s="25">
        <v>3</v>
      </c>
      <c r="L16" s="25">
        <v>9</v>
      </c>
      <c r="M16" s="34">
        <f t="shared" si="0"/>
        <v>188</v>
      </c>
    </row>
    <row r="17" spans="1:17" ht="15" customHeight="1" x14ac:dyDescent="0.25">
      <c r="A17" s="47">
        <v>6</v>
      </c>
      <c r="B17" s="14">
        <v>6</v>
      </c>
      <c r="C17" s="11" t="s">
        <v>41</v>
      </c>
      <c r="D17" s="25">
        <v>9</v>
      </c>
      <c r="E17" s="25">
        <v>9</v>
      </c>
      <c r="F17" s="25">
        <v>3</v>
      </c>
      <c r="G17" s="25">
        <v>9</v>
      </c>
      <c r="H17" s="25">
        <v>9</v>
      </c>
      <c r="I17" s="25">
        <v>3</v>
      </c>
      <c r="J17" s="25">
        <v>9</v>
      </c>
      <c r="K17" s="25">
        <v>9</v>
      </c>
      <c r="L17" s="25">
        <v>9</v>
      </c>
      <c r="M17" s="34">
        <f t="shared" si="0"/>
        <v>414</v>
      </c>
    </row>
    <row r="18" spans="1:17" ht="15" customHeight="1" x14ac:dyDescent="0.25">
      <c r="A18" s="47">
        <v>7</v>
      </c>
      <c r="B18" s="14"/>
      <c r="C18" s="11" t="s">
        <v>40</v>
      </c>
      <c r="D18" s="25">
        <v>3</v>
      </c>
      <c r="E18" s="25">
        <v>3</v>
      </c>
      <c r="F18" s="25">
        <v>1</v>
      </c>
      <c r="G18" s="25">
        <v>9</v>
      </c>
      <c r="H18" s="25">
        <v>9</v>
      </c>
      <c r="I18" s="25">
        <v>3</v>
      </c>
      <c r="J18" s="25">
        <v>1</v>
      </c>
      <c r="K18" s="25">
        <v>1</v>
      </c>
      <c r="L18" s="25">
        <v>1</v>
      </c>
      <c r="M18" s="34">
        <f>(D18*B18)+(E18*B18)+(F18*B18)+(G18*B18)+(L18*B18)</f>
        <v>0</v>
      </c>
    </row>
    <row r="19" spans="1:17" ht="15" customHeight="1" x14ac:dyDescent="0.25">
      <c r="A19" s="47">
        <v>8</v>
      </c>
      <c r="B19" s="14"/>
      <c r="C19" s="11" t="s">
        <v>42</v>
      </c>
      <c r="D19" s="25">
        <v>9</v>
      </c>
      <c r="E19" s="25">
        <v>9</v>
      </c>
      <c r="F19" s="25">
        <v>3</v>
      </c>
      <c r="G19" s="25">
        <v>9</v>
      </c>
      <c r="H19" s="25">
        <v>9</v>
      </c>
      <c r="I19" s="25">
        <v>1</v>
      </c>
      <c r="J19" s="25">
        <v>3</v>
      </c>
      <c r="K19" s="25">
        <v>1</v>
      </c>
      <c r="L19" s="25">
        <v>9</v>
      </c>
      <c r="M19" s="34">
        <f>(D19*B19)+(E19*B19)+(F19*B19)+(G19*B19)+(L19*B19)</f>
        <v>0</v>
      </c>
    </row>
    <row r="20" spans="1:17" ht="15" customHeight="1" x14ac:dyDescent="0.25">
      <c r="A20" s="47">
        <v>9</v>
      </c>
      <c r="B20" s="14"/>
      <c r="C20" s="11"/>
      <c r="D20" s="25"/>
      <c r="E20" s="25"/>
      <c r="F20" s="25"/>
      <c r="G20" s="25"/>
      <c r="H20" s="25"/>
      <c r="I20" s="25"/>
      <c r="J20" s="25"/>
      <c r="K20" s="25"/>
      <c r="L20" s="25"/>
      <c r="M20" s="55">
        <f>(D20*B20)+(E20*B20)+(F20*B20)+(G20*B20)+(L20*B20)</f>
        <v>0</v>
      </c>
      <c r="N20" s="15"/>
      <c r="O20" s="15"/>
      <c r="P20" s="15"/>
      <c r="Q20" s="15"/>
    </row>
    <row r="21" spans="1:17" ht="12.75" customHeight="1" x14ac:dyDescent="0.25">
      <c r="A21" s="15"/>
      <c r="B21" s="26"/>
      <c r="C21" s="35" t="s">
        <v>15</v>
      </c>
      <c r="D21" s="37">
        <f>D12*B12+D13*B13+D14*B14+D15*B15+D16*B16+D17*B17+D18*B18+D19*B19+D20*B20</f>
        <v>149</v>
      </c>
      <c r="E21" s="37">
        <f>E12*B12+E13*B13+E14*B14+E15*B15+E16*B16+E17*B17+E18*B18+E19*B19+E20*B20</f>
        <v>177</v>
      </c>
      <c r="F21" s="37">
        <f>F12*B12+F13*B13+F14*B14+F15*B15+F16*B16+F17*B17+F18*B18+F19*B19+F20*B20</f>
        <v>85</v>
      </c>
      <c r="G21" s="37">
        <f>G12*B12+G13*B13+G14*B14+G15*B15+G16*B16+G17*B17+G18*B18+G19*B19+G20*B20</f>
        <v>189</v>
      </c>
      <c r="H21" s="37">
        <f>+SUMPRODUCT(H12:H17,B12:B17)</f>
        <v>165</v>
      </c>
      <c r="I21" s="37">
        <f>+SUMPRODUCT(H12:H17,B12:B17)</f>
        <v>165</v>
      </c>
      <c r="J21" s="37">
        <f>+SUMPRODUCT(J12:J17,B12:B17)</f>
        <v>147</v>
      </c>
      <c r="K21" s="37">
        <f>+SUMPRODUCT(K12:K17,B12:B17)</f>
        <v>129</v>
      </c>
      <c r="L21" s="37">
        <f>L12*B12+L13*B13+L14*B14+L15*B15+L16*B16+L17*B17+L18*B18+L19*B19+L20*B20</f>
        <v>153</v>
      </c>
      <c r="M21" s="5">
        <f>SUM(M12:M20)</f>
        <v>1271</v>
      </c>
      <c r="N21" s="56"/>
      <c r="O21" s="56"/>
      <c r="P21" s="56"/>
      <c r="Q21" s="56"/>
    </row>
    <row r="22" spans="1:17" ht="12.75" customHeight="1" x14ac:dyDescent="0.25">
      <c r="A22" s="15"/>
      <c r="B22" s="26"/>
      <c r="C22" s="36" t="s">
        <v>2</v>
      </c>
      <c r="D22" s="38">
        <f t="shared" ref="D22:L22" si="1">+IF(ISERROR(D21/$M$21)," ",D21/$M$21)</f>
        <v>0.11723052714398112</v>
      </c>
      <c r="E22" s="38">
        <f t="shared" si="1"/>
        <v>0.13926042486231313</v>
      </c>
      <c r="F22" s="38">
        <f t="shared" si="1"/>
        <v>6.6876475216365069E-2</v>
      </c>
      <c r="G22" s="38">
        <f t="shared" si="1"/>
        <v>0.14870180959874116</v>
      </c>
      <c r="H22" s="38">
        <f t="shared" si="1"/>
        <v>0.12981904012588513</v>
      </c>
      <c r="I22" s="38">
        <f t="shared" si="1"/>
        <v>0.12981904012588513</v>
      </c>
      <c r="J22" s="38">
        <f t="shared" si="1"/>
        <v>0.11565696302124312</v>
      </c>
      <c r="K22" s="38">
        <f t="shared" si="1"/>
        <v>0.10149488591660111</v>
      </c>
      <c r="L22" s="38">
        <f t="shared" si="1"/>
        <v>0.12037765538945712</v>
      </c>
      <c r="M22" s="6">
        <f>SUM(D22:L22)</f>
        <v>1.0692368214004722</v>
      </c>
    </row>
    <row r="23" spans="1:17" ht="12.75" customHeight="1" x14ac:dyDescent="0.25">
      <c r="A23" s="15"/>
      <c r="B23" s="26"/>
      <c r="C23" s="36" t="s">
        <v>10</v>
      </c>
      <c r="D23" s="39">
        <f>IF(ISERROR(RANK(D21,$D$21:$L$21,0)),"",RANK(D21,$D$21:$L$21,0))</f>
        <v>6</v>
      </c>
      <c r="E23" s="39">
        <f t="shared" ref="E23:L23" si="2">IF(ISERROR(RANK(E21,$D$21:$L$21,0)),"",RANK(E21,$D$21:$L$21,0))</f>
        <v>2</v>
      </c>
      <c r="F23" s="39">
        <f t="shared" si="2"/>
        <v>9</v>
      </c>
      <c r="G23" s="39">
        <f t="shared" si="2"/>
        <v>1</v>
      </c>
      <c r="H23" s="39">
        <f t="shared" si="2"/>
        <v>3</v>
      </c>
      <c r="I23" s="39">
        <f t="shared" si="2"/>
        <v>3</v>
      </c>
      <c r="J23" s="39">
        <f t="shared" si="2"/>
        <v>7</v>
      </c>
      <c r="K23" s="39">
        <f t="shared" si="2"/>
        <v>8</v>
      </c>
      <c r="L23" s="39">
        <f t="shared" si="2"/>
        <v>5</v>
      </c>
      <c r="M23" s="7"/>
    </row>
    <row r="24" spans="1:17" ht="12.75" customHeight="1" x14ac:dyDescent="0.25">
      <c r="A24" s="15"/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15"/>
    </row>
    <row r="25" spans="1:17" ht="12.75" customHeight="1" x14ac:dyDescent="0.3">
      <c r="A25" s="15"/>
      <c r="B25" s="2" t="s">
        <v>0</v>
      </c>
    </row>
    <row r="26" spans="1:17" ht="12.75" customHeight="1" x14ac:dyDescent="0.25">
      <c r="A26" s="15"/>
      <c r="B26" s="57" t="s">
        <v>47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</row>
    <row r="27" spans="1:17" ht="12.75" customHeight="1" x14ac:dyDescent="0.25">
      <c r="A27" s="15"/>
      <c r="B27" s="59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</row>
    <row r="28" spans="1:17" ht="12.75" customHeight="1" x14ac:dyDescent="0.25">
      <c r="A28" s="15"/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</row>
    <row r="29" spans="1:17" ht="12.75" customHeight="1" x14ac:dyDescent="0.25">
      <c r="A29" s="15"/>
    </row>
    <row r="30" spans="1:17" ht="12.75" customHeight="1" x14ac:dyDescent="0.25">
      <c r="A30" s="15"/>
    </row>
  </sheetData>
  <mergeCells count="11">
    <mergeCell ref="N21:Q21"/>
    <mergeCell ref="L10:L11"/>
    <mergeCell ref="D10:D11"/>
    <mergeCell ref="E10:E11"/>
    <mergeCell ref="F10:F11"/>
    <mergeCell ref="G10:G11"/>
    <mergeCell ref="H10:H11"/>
    <mergeCell ref="I10:I11"/>
    <mergeCell ref="J10:J11"/>
    <mergeCell ref="K10:K11"/>
    <mergeCell ref="B26:N28"/>
  </mergeCells>
  <phoneticPr fontId="1" type="noConversion"/>
  <printOptions horizontalCentered="1" verticalCentered="1"/>
  <pageMargins left="0.1" right="0.1" top="0.1" bottom="0.1" header="0.2" footer="0.2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QFD</vt:lpstr>
      <vt:lpstr>QFD!Área_de_impresión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lolo</dc:creator>
  <cp:lastModifiedBy>Veronica Ayavaca</cp:lastModifiedBy>
  <cp:lastPrinted>2019-03-18T18:37:29Z</cp:lastPrinted>
  <dcterms:created xsi:type="dcterms:W3CDTF">1996-10-14T23:33:28Z</dcterms:created>
  <dcterms:modified xsi:type="dcterms:W3CDTF">2026-07-12T17:15:20Z</dcterms:modified>
</cp:coreProperties>
</file>